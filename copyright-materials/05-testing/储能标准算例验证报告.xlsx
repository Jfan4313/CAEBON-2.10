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63c7208fe41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储能验证" sheetId="1" r:id="R4464d1b858004770"/>
    <x:sheet xmlns:r="http://schemas.openxmlformats.org/officeDocument/2006/relationships" name="15年现金流" sheetId="2" r:id="Raee52628213744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.000;[Red](#,##0.000);-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</x:border>
    <x:border>
      <x:left style="thin">
        <x:color rgb="FFD6B656"/>
      </x:left>
      <x:right style="thin">
        <x:color rgb="FFD6B656"/>
      </x:right>
    </x:border>
    <x:border>
      <x:left style="thin">
        <x:color rgb="FFD6B656"/>
      </x:left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200" fontId="4" fillId="4" borderId="4" xfId="0" applyNumberFormat="1" applyFont="1" applyFill="1" applyBorder="1"/>
    <x:xf numFmtId="200" fontId="4" fillId="4" borderId="5" xfId="0" applyNumberFormat="1" applyFont="1" applyFill="1" applyBorder="1"/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0" fontId="4" fillId="4" borderId="4" xfId="0" applyNumberFormat="1" applyFont="1" applyFill="1" applyBorder="1" applyAlignment="1">
      <x:alignment wrapText="1"/>
    </x:xf>
    <x:xf numFmtId="200" fontId="4" fillId="4" borderId="5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a24ff320444ba" /><Relationship Type="http://schemas.openxmlformats.org/officeDocument/2006/relationships/theme" Target="/xl/theme/theme1.xml" Id="R481a713fc5f94209" /><Relationship Type="http://schemas.openxmlformats.org/officeDocument/2006/relationships/sharedStrings" Target="/xl/sharedStrings.xml" Id="R9a82076b3f2a4716" /><Relationship Type="http://schemas.openxmlformats.org/officeDocument/2006/relationships/worksheet" Target="/xl/worksheets/sheet1.xml" Id="R4464d1b858004770" /><Relationship Type="http://schemas.openxmlformats.org/officeDocument/2006/relationships/worksheet" Target="/xl/worksheets/sheet2.xml" Id="Raee52628213744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8" hidden="0" customWidth="1"/>
  </x:cols>
  <x:sheetData>
    <x:row r="1" ht="30" customHeight="1">
      <x:c r="A1" s="28" t="str">
        <x:v>储能标准算例验证报告</x:v>
      </x:c>
      <x:c r="B1" s="28"/>
      <x:c r="C1" s="28"/>
      <x:c r="D1" s="28"/>
      <x:c r="E1" s="28"/>
      <x:c r="F1" s="28"/>
      <x:c r="G1" s="28"/>
    </x:row>
    <x:row r="2" ht="24" customHeight="1">
      <x:c r="A2" s="29" t="str">
        <x:v>工程容量推荐与财务现金流双重验证</x:v>
      </x:c>
      <x:c r="B2" s="29"/>
      <x:c r="C2" s="29"/>
      <x:c r="D2" s="29"/>
      <x:c r="E2" s="29"/>
      <x:c r="F2" s="29"/>
      <x:c r="G2" s="29"/>
    </x:row>
    <x:row r="3">
      <x:c r="A3" s="30"/>
      <x:c r="B3" s="30"/>
      <x:c r="C3" s="30"/>
      <x:c r="D3" s="30"/>
      <x:c r="E3" s="30"/>
      <x:c r="F3" s="30"/>
      <x:c r="G3" s="30"/>
    </x:row>
    <x:row r="4" ht="22" customHeight="1">
      <x:c r="A4" s="31" t="str">
        <x:v>工程输入</x:v>
      </x:c>
      <x:c r="B4" s="31"/>
      <x:c r="C4" s="31"/>
      <x:c r="D4" s="31"/>
      <x:c r="E4" s="31"/>
      <x:c r="F4" s="31"/>
      <x:c r="G4" s="31"/>
    </x:row>
    <x:row r="5">
      <x:c r="A5" s="17" t="str">
        <x:v>输入项</x:v>
      </x:c>
      <x:c r="B5" s="18" t="str">
        <x:v>数值</x:v>
      </x:c>
      <x:c r="C5" s="19" t="str">
        <x:v>单位</x:v>
      </x:c>
      <x:c r="D5" s="30"/>
      <x:c r="E5" s="30"/>
      <x:c r="F5" s="30"/>
      <x:c r="G5" s="30"/>
    </x:row>
    <x:row r="6">
      <x:c r="A6" s="30" t="str">
        <x:v>DOD</x:v>
      </x:c>
      <x:c r="B6" s="32" t="n">
        <x:v>0.9</x:v>
      </x:c>
      <x:c r="C6" s="30" t="str">
        <x:v>比例</x:v>
      </x:c>
      <x:c r="D6" s="30"/>
      <x:c r="E6" s="30"/>
      <x:c r="F6" s="30"/>
      <x:c r="G6" s="30"/>
    </x:row>
    <x:row r="7">
      <x:c r="A7" s="30" t="str">
        <x:v>RTE</x:v>
      </x:c>
      <x:c r="B7" s="33" t="n">
        <x:v>0.88</x:v>
      </x:c>
      <x:c r="C7" s="30" t="str">
        <x:v>比例</x:v>
      </x:c>
      <x:c r="D7" s="30"/>
      <x:c r="E7" s="30"/>
      <x:c r="F7" s="30"/>
      <x:c r="G7" s="30"/>
    </x:row>
    <x:row r="8">
      <x:c r="A8" s="30" t="str">
        <x:v>当前功率</x:v>
      </x:c>
      <x:c r="B8" s="34" t="n">
        <x:v>250</x:v>
      </x:c>
      <x:c r="C8" s="30" t="str">
        <x:v>kW</x:v>
      </x:c>
      <x:c r="D8" s="30"/>
      <x:c r="E8" s="30"/>
      <x:c r="F8" s="30"/>
      <x:c r="G8" s="30"/>
    </x:row>
    <x:row r="9">
      <x:c r="A9" s="30" t="str">
        <x:v>当前容量</x:v>
      </x:c>
      <x:c r="B9" s="34" t="n">
        <x:v>500</x:v>
      </x:c>
      <x:c r="C9" s="30" t="str">
        <x:v>kWh</x:v>
      </x:c>
      <x:c r="D9" s="30"/>
      <x:c r="E9" s="30"/>
      <x:c r="F9" s="30"/>
      <x:c r="G9" s="30"/>
    </x:row>
    <x:row r="10">
      <x:c r="A10" s="30" t="str">
        <x:v>每日光伏余电</x:v>
      </x:c>
      <x:c r="B10" s="34" t="n">
        <x:v>1090</x:v>
      </x:c>
      <x:c r="C10" s="30" t="str">
        <x:v>kWh</x:v>
      </x:c>
      <x:c r="D10" s="30"/>
      <x:c r="E10" s="30"/>
      <x:c r="F10" s="30"/>
      <x:c r="G10" s="30"/>
    </x:row>
    <x:row r="11">
      <x:c r="A11" s="30" t="str">
        <x:v>每日可替代负荷</x:v>
      </x:c>
      <x:c r="B11" s="35" t="n">
        <x:v>1215</x:v>
      </x:c>
      <x:c r="C11" s="30" t="str">
        <x:v>kWh</x:v>
      </x:c>
      <x:c r="D11" s="30"/>
      <x:c r="E11" s="30"/>
      <x:c r="F11" s="30"/>
      <x:c r="G11" s="30"/>
    </x:row>
    <x:row r="12">
      <x:c r="A12" s="30"/>
      <x:c r="B12" s="30"/>
      <x:c r="C12" s="30"/>
      <x:c r="D12" s="30"/>
      <x:c r="E12" s="30"/>
      <x:c r="F12" s="30"/>
      <x:c r="G12" s="30"/>
    </x:row>
    <x:row r="13" ht="22" customHeight="1">
      <x:c r="A13" s="31" t="str">
        <x:v>工程结果对照</x:v>
      </x:c>
      <x:c r="B13" s="31"/>
      <x:c r="C13" s="31"/>
      <x:c r="D13" s="31"/>
      <x:c r="E13" s="31"/>
      <x:c r="F13" s="31"/>
      <x:c r="G13" s="31"/>
    </x:row>
    <x:row r="14">
      <x:c r="A14" s="17" t="str">
        <x:v>指标</x:v>
      </x:c>
      <x:c r="B14" s="18" t="str">
        <x:v>独立/复核值</x:v>
      </x:c>
      <x:c r="C14" s="18" t="str">
        <x:v>代码期望值</x:v>
      </x:c>
      <x:c r="D14" s="18" t="str">
        <x:v>差异</x:v>
      </x:c>
      <x:c r="E14" s="18" t="str">
        <x:v>容差</x:v>
      </x:c>
      <x:c r="F14" s="18" t="str">
        <x:v>状态</x:v>
      </x:c>
      <x:c r="G14" s="19" t="str">
        <x:v>说明</x:v>
      </x:c>
    </x:row>
    <x:row r="15">
      <x:c r="A15" s="30" t="str">
        <x:v>推荐功率</x:v>
      </x:c>
      <x:c r="B15" s="30" t="n">
        <x:v>180</x:v>
      </x:c>
      <x:c r="C15" s="30" t="n">
        <x:v>180</x:v>
      </x:c>
      <x:c r="D15" s="30" t="n">
        <x:f>B15-C15</x:f>
        <x:v>0</x:v>
      </x:c>
      <x:c r="E15" s="30" t="n">
        <x:v>0.001</x:v>
      </x:c>
      <x:c r="F15" s="30" t="str">
        <x:f>IF(ABS(D15)&lt;=E15,"OK","FAIL")</x:f>
        <x:v>OK</x:v>
      </x:c>
      <x:c r="G15" s="30" t="str">
        <x:v>按余电窗口求最小充电功率并向上取整</x:v>
      </x:c>
    </x:row>
    <x:row r="16">
      <x:c r="A16" s="30" t="str">
        <x:v>推荐容量</x:v>
      </x:c>
      <x:c r="B16" s="30" t="n">
        <x:v>1140</x:v>
      </x:c>
      <x:c r="C16" s="30" t="n">
        <x:v>1140</x:v>
      </x:c>
      <x:c r="D16" s="30" t="n">
        <x:f>B16-C16</x:f>
        <x:v>0</x:v>
      </x:c>
      <x:c r="E16" s="30" t="n">
        <x:v>0.001</x:v>
      </x:c>
      <x:c r="F16" s="30" t="str">
        <x:f>IF(ABS(D16)&lt;=E16,"OK","FAIL")</x:f>
        <x:v>OK</x:v>
      </x:c>
      <x:c r="G16" s="30" t="str">
        <x:v>最大单次循环输入×√RTE÷DOD并取整</x:v>
      </x:c>
    </x:row>
    <x:row r="17">
      <x:c r="A17" s="30" t="str">
        <x:v>可转移输入电量</x:v>
      </x:c>
      <x:c r="B17" s="30" t="n">
        <x:v>1090</x:v>
      </x:c>
      <x:c r="C17" s="30" t="n">
        <x:v>1090</x:v>
      </x:c>
      <x:c r="D17" s="30" t="n">
        <x:f>B17-C17</x:f>
        <x:v>0</x:v>
      </x:c>
      <x:c r="E17" s="30" t="n">
        <x:v>0.001</x:v>
      </x:c>
      <x:c r="F17" s="30" t="str">
        <x:f>IF(ABS(D17)&lt;=E17,"OK","FAIL")</x:f>
        <x:v>OK</x:v>
      </x:c>
      <x:c r="G17" s="30" t="str">
        <x:v>余电与后续缺口约束</x:v>
      </x:c>
    </x:row>
    <x:row r="18">
      <x:c r="A18" s="30" t="str">
        <x:v>可交付电量</x:v>
      </x:c>
      <x:c r="B18" s="30" t="n">
        <x:v>959.2</x:v>
      </x:c>
      <x:c r="C18" s="30" t="n">
        <x:v>959.2</x:v>
      </x:c>
      <x:c r="D18" s="30" t="n">
        <x:f>B18-C18</x:f>
        <x:v>0</x:v>
      </x:c>
      <x:c r="E18" s="30" t="n">
        <x:v>0.001</x:v>
      </x:c>
      <x:c r="F18" s="30" t="str">
        <x:f>IF(ABS(D18)&lt;=E18,"OK","FAIL")</x:f>
        <x:v>OK</x:v>
      </x:c>
      <x:c r="G18" s="30" t="str">
        <x:v>输入电量×RTE</x:v>
      </x:c>
    </x:row>
    <x:row r="19">
      <x:c r="A19" s="30" t="str">
        <x:v>当前捕获率</x:v>
      </x:c>
      <x:c r="B19" s="30" t="n">
        <x:v>44.00932218349757</x:v>
      </x:c>
      <x:c r="C19" s="30" t="n">
        <x:v>44.00932218349757</x:v>
      </x:c>
      <x:c r="D19" s="30" t="n">
        <x:f>B19-C19</x:f>
        <x:v>0</x:v>
      </x:c>
      <x:c r="E19" s="30" t="n">
        <x:v>0.001</x:v>
      </x:c>
      <x:c r="F19" s="30" t="str">
        <x:f>IF(ABS(D19)&lt;=E19,"OK","FAIL")</x:f>
        <x:v>OK</x:v>
      </x:c>
      <x:c r="G19" s="30" t="str">
        <x:v>当前功率/容量可捕获比例</x:v>
      </x:c>
    </x:row>
    <x:row r="20">
      <x:c r="A20" s="30"/>
      <x:c r="B20" s="30"/>
      <x:c r="C20" s="30"/>
      <x:c r="D20" s="30"/>
      <x:c r="E20" s="30"/>
      <x:c r="F20" s="30"/>
      <x:c r="G20" s="30"/>
    </x:row>
    <x:row r="21" ht="22" customHeight="1">
      <x:c r="A21" s="31" t="str">
        <x:v>财务结果</x:v>
      </x:c>
      <x:c r="B21" s="31"/>
      <x:c r="C21" s="31"/>
      <x:c r="D21" s="31"/>
      <x:c r="E21" s="31"/>
      <x:c r="F21" s="31"/>
      <x:c r="G21" s="31"/>
    </x:row>
    <x:row r="22">
      <x:c r="A22" s="17" t="str">
        <x:v>指标</x:v>
      </x:c>
      <x:c r="B22" s="18" t="str">
        <x:v>独立公式值</x:v>
      </x:c>
      <x:c r="C22" s="18" t="str">
        <x:v>代码期望值</x:v>
      </x:c>
      <x:c r="D22" s="18" t="str">
        <x:v>差异</x:v>
      </x:c>
      <x:c r="E22" s="18" t="str">
        <x:v>容差</x:v>
      </x:c>
      <x:c r="F22" s="18" t="str">
        <x:v>状态</x:v>
      </x:c>
      <x:c r="G22" s="19" t="str">
        <x:v>口径</x:v>
      </x:c>
    </x:row>
    <x:row r="23">
      <x:c r="A23" s="30" t="str">
        <x:v>投资额</x:v>
      </x:c>
      <x:c r="B23" s="30" t="n">
        <x:f>450</x:f>
        <x:v>450</x:v>
      </x:c>
      <x:c r="C23" s="30" t="n">
        <x:v>450</x:v>
      </x:c>
      <x:c r="D23" s="30" t="n">
        <x:f>B23-C23</x:f>
        <x:v>0</x:v>
      </x:c>
      <x:c r="E23" s="30" t="n">
        <x:v>0.001</x:v>
      </x:c>
      <x:c r="F23" s="30" t="str">
        <x:f>IF(ABS(D23)&lt;=E23,"OK","FAIL")</x:f>
        <x:v>OK</x:v>
      </x:c>
      <x:c r="G23" s="30" t="str">
        <x:v>名义投资</x:v>
      </x:c>
    </x:row>
    <x:row r="24">
      <x:c r="A24" s="30" t="str">
        <x:v>首年净收益</x:v>
      </x:c>
      <x:c r="B24" s="30" t="n">
        <x:f>'15年现金流'!B6</x:f>
        <x:v>75.25</x:v>
      </x:c>
      <x:c r="C24" s="30" t="n">
        <x:v>75.25</x:v>
      </x:c>
      <x:c r="D24" s="30" t="n">
        <x:f>B24-C24</x:f>
        <x:v>0</x:v>
      </x:c>
      <x:c r="E24" s="30" t="n">
        <x:v>0.001</x:v>
      </x:c>
      <x:c r="F24" s="30" t="str">
        <x:f>IF(ABS(D24)&lt;=E24,"OK","FAIL")</x:f>
        <x:v>OK</x:v>
      </x:c>
      <x:c r="G24" s="30" t="str">
        <x:v>毛收益-固定运维</x:v>
      </x:c>
    </x:row>
    <x:row r="25">
      <x:c r="A25" s="30" t="str">
        <x:v>NPV</x:v>
      </x:c>
      <x:c r="B25" s="30" t="n">
        <x:f>'15年现金流'!B22</x:f>
        <x:v>160.67352446617878</x:v>
      </x:c>
      <x:c r="C25" s="30" t="n">
        <x:v>160.674</x:v>
      </x:c>
      <x:c r="D25" s="30" t="n">
        <x:f>B25-C25</x:f>
        <x:v>-0.000475533821230556</x:v>
      </x:c>
      <x:c r="E25" s="30" t="n">
        <x:v>0.001</x:v>
      </x:c>
      <x:c r="F25" s="30" t="str">
        <x:f>IF(ABS(D25)&lt;=E25,"OK","FAIL")</x:f>
        <x:v>OK</x:v>
      </x:c>
      <x:c r="G25" s="30" t="str">
        <x:v>6%折现并计第10年更换与期末残值</x:v>
      </x:c>
    </x:row>
    <x:row r="26">
      <x:c r="A26" s="30" t="str">
        <x:v>静态回收期</x:v>
      </x:c>
      <x:c r="B26" s="30" t="n">
        <x:f>'15年现金流'!B24</x:f>
        <x:v>6.243392377570039</x:v>
      </x:c>
      <x:c r="C26" s="30" t="n">
        <x:v>6.243</x:v>
      </x:c>
      <x:c r="D26" s="30" t="n">
        <x:f>B26-C26</x:f>
        <x:v>0.0003923775700389598</x:v>
      </x:c>
      <x:c r="E26" s="30" t="n">
        <x:v>0.001</x:v>
      </x:c>
      <x:c r="F26" s="30" t="str">
        <x:f>IF(ABS(D26)&lt;=E26,"OK","FAIL")</x:f>
        <x:v>OK</x:v>
      </x:c>
      <x:c r="G26" s="30" t="str">
        <x:v>累计现金流线性插值</x:v>
      </x:c>
    </x:row>
    <x:row r="27">
      <x:c r="A27" s="30"/>
      <x:c r="B27" s="30"/>
      <x:c r="C27" s="30"/>
      <x:c r="D27" s="30"/>
      <x:c r="E27" s="30"/>
      <x:c r="F27" s="30"/>
      <x:c r="G27" s="30"/>
    </x:row>
    <x:row r="28">
      <x:c r="A28" s="30"/>
      <x:c r="B28" s="30"/>
      <x:c r="C28" s="30"/>
      <x:c r="D28" s="30"/>
      <x:c r="E28" s="30"/>
      <x:c r="F28" s="30"/>
      <x:c r="G28" s="30"/>
    </x:row>
    <x:row r="29">
      <x:c r="A29" s="30"/>
      <x:c r="B29" s="30"/>
      <x:c r="C29" s="30"/>
      <x:c r="D29" s="30"/>
      <x:c r="E29" s="30"/>
      <x:c r="F29" s="30"/>
      <x:c r="G29" s="30"/>
    </x:row>
    <x:row r="30">
      <x:c r="A30" s="30"/>
      <x:c r="B30" s="30"/>
      <x:c r="C30" s="30"/>
      <x:c r="D30" s="30"/>
      <x:c r="E30" s="30"/>
      <x:c r="F30" s="30"/>
      <x:c r="G30" s="30"/>
    </x:row>
  </x:sheetData>
  <x:mergeCells>
    <x:mergeCell ref="A1:G1"/>
    <x:mergeCell ref="A2:G2"/>
    <x:mergeCell ref="A4:G4"/>
    <x:mergeCell ref="A13:G13"/>
    <x:mergeCell ref="A21:G21"/>
  </x:mergeCells>
  <x:conditionalFormatting sqref="F15:F26">
    <x:cfRule type="containsText" dxfId="0" priority="1" operator="containsText" text="OK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8" hidden="0" customWidth="1"/>
  </x:cols>
  <x:sheetData>
    <x:row r="1" ht="30" customHeight="1">
      <x:c r="A1" s="28" t="str">
        <x:v>储能15年现金流复核</x:v>
      </x:c>
      <x:c r="B1" s="28"/>
      <x:c r="C1" s="28"/>
      <x:c r="D1" s="28"/>
      <x:c r="E1" s="28"/>
      <x:c r="F1" s="28"/>
      <x:c r="G1" s="28"/>
    </x:row>
    <x:row r="2" ht="24" customHeight="1">
      <x:c r="A2" s="29" t="str">
        <x:v>单位：万元；第10年更换成本为初始投资25%，第15年残值5%</x:v>
      </x:c>
      <x:c r="B2" s="29"/>
      <x:c r="C2" s="29"/>
      <x:c r="D2" s="29"/>
      <x:c r="E2" s="29"/>
      <x:c r="F2" s="29"/>
      <x:c r="G2" s="29"/>
    </x:row>
    <x:row r="3">
      <x:c r="A3" s="30"/>
      <x:c r="B3" s="30"/>
      <x:c r="C3" s="30"/>
      <x:c r="D3" s="30"/>
      <x:c r="E3" s="30"/>
      <x:c r="F3" s="30"/>
      <x:c r="G3" s="30"/>
    </x:row>
    <x:row r="4">
      <x:c r="A4" s="17" t="str">
        <x:v>年份</x:v>
      </x:c>
      <x:c r="B4" s="18" t="str">
        <x:v>净现金流</x:v>
      </x:c>
      <x:c r="C4" s="18" t="str">
        <x:v>折现因子</x:v>
      </x:c>
      <x:c r="D4" s="18" t="str">
        <x:v>现金流现值</x:v>
      </x:c>
      <x:c r="E4" s="18" t="str">
        <x:v>累计现金流</x:v>
      </x:c>
      <x:c r="F4" s="18" t="str">
        <x:v>代码期望值</x:v>
      </x:c>
      <x:c r="G4" s="19" t="str">
        <x:v>差异</x:v>
      </x:c>
    </x:row>
    <x:row r="5">
      <x:c r="A5" s="30" t="n">
        <x:v>0</x:v>
      </x:c>
      <x:c r="B5" s="36" t="n">
        <x:f>-450</x:f>
        <x:v>-450</x:v>
      </x:c>
      <x:c r="C5" s="36" t="n">
        <x:f>1/(1+6%)^A5</x:f>
        <x:v>1</x:v>
      </x:c>
      <x:c r="D5" s="36" t="n">
        <x:f>B5*C5</x:f>
        <x:v>-450</x:v>
      </x:c>
      <x:c r="E5" s="36" t="n">
        <x:f>B5</x:f>
        <x:v>-450</x:v>
      </x:c>
      <x:c r="F5" s="36" t="n">
        <x:v>-450</x:v>
      </x:c>
      <x:c r="G5" s="36" t="n">
        <x:f>B5-F5</x:f>
        <x:v>0</x:v>
      </x:c>
    </x:row>
    <x:row r="6">
      <x:c r="A6" s="30" t="n">
        <x:v>1</x:v>
      </x:c>
      <x:c r="B6" s="36" t="n">
        <x:f>ROUND(82-6.75,3)</x:f>
        <x:v>75.25</x:v>
      </x:c>
      <x:c r="C6" s="36" t="n">
        <x:f>1/(1+6%)^A6</x:f>
        <x:v>0.9433962264150942</x:v>
      </x:c>
      <x:c r="D6" s="36" t="n">
        <x:f>B6*C6</x:f>
        <x:v>70.99056603773585</x:v>
      </x:c>
      <x:c r="E6" s="36" t="n">
        <x:f>E5+B6</x:f>
        <x:v>-374.75</x:v>
      </x:c>
      <x:c r="F6" s="36" t="n">
        <x:v>75.25</x:v>
      </x:c>
      <x:c r="G6" s="36" t="n">
        <x:f>B6-F6</x:f>
        <x:v>0</x:v>
      </x:c>
    </x:row>
    <x:row r="7">
      <x:c r="A7" s="30" t="n">
        <x:v>2</x:v>
      </x:c>
      <x:c r="B7" s="36" t="n">
        <x:f>ROUND(82*(1-1.5%)^(A7-1)-6.75-IF(A7=10,450*25%,0)+IF(A7=15,450*5%,0),3)</x:f>
        <x:v>74.02</x:v>
      </x:c>
      <x:c r="C7" s="36" t="n">
        <x:f>1/(1+6%)^A7</x:f>
        <x:v>0.8899964400142398</x:v>
      </x:c>
      <x:c r="D7" s="36" t="n">
        <x:f>B7*C7</x:f>
        <x:v>65.87753648985402</x:v>
      </x:c>
      <x:c r="E7" s="36" t="n">
        <x:f>E6+B7</x:f>
        <x:v>-300.73</x:v>
      </x:c>
      <x:c r="F7" s="36" t="n">
        <x:v>74.02</x:v>
      </x:c>
      <x:c r="G7" s="36" t="n">
        <x:f>B7-F7</x:f>
        <x:v>0</x:v>
      </x:c>
    </x:row>
    <x:row r="8">
      <x:c r="A8" s="30" t="n">
        <x:v>3</x:v>
      </x:c>
      <x:c r="B8" s="36" t="n">
        <x:f>ROUND(82*(1-1.5%)^(A8-1)-6.75-IF(A8=10,450*25%,0)+IF(A8=15,450*5%,0),3)</x:f>
        <x:v>72.808</x:v>
      </x:c>
      <x:c r="C8" s="36" t="n">
        <x:f>1/(1+6%)^A8</x:f>
        <x:v>0.8396192830323018</x:v>
      </x:c>
      <x:c r="D8" s="36" t="n">
        <x:f>B8*C8</x:f>
        <x:v>61.13100075901583</x:v>
      </x:c>
      <x:c r="E8" s="36" t="n">
        <x:f>E7+B8</x:f>
        <x:v>-227.92200000000003</x:v>
      </x:c>
      <x:c r="F8" s="36" t="n">
        <x:v>72.808</x:v>
      </x:c>
      <x:c r="G8" s="36" t="n">
        <x:f>B8-F8</x:f>
        <x:v>0</x:v>
      </x:c>
    </x:row>
    <x:row r="9">
      <x:c r="A9" s="30" t="n">
        <x:v>4</x:v>
      </x:c>
      <x:c r="B9" s="36" t="n">
        <x:f>ROUND(82*(1-1.5%)^(A9-1)-6.75-IF(A9=10,450*25%,0)+IF(A9=15,450*5%,0),3)</x:f>
        <x:v>71.615</x:v>
      </x:c>
      <x:c r="C9" s="36" t="n">
        <x:f>1/(1+6%)^A9</x:f>
        <x:v>0.7920936632380204</x:v>
      </x:c>
      <x:c r="D9" s="36" t="n">
        <x:f>B9*C9</x:f>
        <x:v>56.72578769279083</x:v>
      </x:c>
      <x:c r="E9" s="36" t="n">
        <x:f>E8+B9</x:f>
        <x:v>-156.30700000000002</x:v>
      </x:c>
      <x:c r="F9" s="36" t="n">
        <x:v>71.615</x:v>
      </x:c>
      <x:c r="G9" s="36" t="n">
        <x:f>B9-F9</x:f>
        <x:v>0</x:v>
      </x:c>
    </x:row>
    <x:row r="10">
      <x:c r="A10" s="30" t="n">
        <x:v>5</x:v>
      </x:c>
      <x:c r="B10" s="36" t="n">
        <x:f>ROUND(82*(1-1.5%)^(A10-1)-6.75-IF(A10=10,450*25%,0)+IF(A10=15,450*5%,0),3)</x:f>
        <x:v>70.44</x:v>
      </x:c>
      <x:c r="C10" s="36" t="n">
        <x:f>1/(1+6%)^A10</x:f>
        <x:v>0.747258172866057</x:v>
      </x:c>
      <x:c r="D10" s="36" t="n">
        <x:f>B10*C10</x:f>
        <x:v>52.63686569668506</x:v>
      </x:c>
      <x:c r="E10" s="36" t="n">
        <x:f>E9+B10</x:f>
        <x:v>-85.86700000000002</x:v>
      </x:c>
      <x:c r="F10" s="36" t="n">
        <x:v>70.44</x:v>
      </x:c>
      <x:c r="G10" s="36" t="n">
        <x:f>B10-F10</x:f>
        <x:v>0</x:v>
      </x:c>
    </x:row>
    <x:row r="11">
      <x:c r="A11" s="30" t="n">
        <x:v>6</x:v>
      </x:c>
      <x:c r="B11" s="36" t="n">
        <x:f>ROUND(82*(1-1.5%)^(A11-1)-6.75-IF(A11=10,450*25%,0)+IF(A11=15,450*5%,0),3)</x:f>
        <x:v>69.282</x:v>
      </x:c>
      <x:c r="C11" s="36" t="n">
        <x:f>1/(1+6%)^A11</x:f>
        <x:v>0.7049605404396764</x:v>
      </x:c>
      <x:c r="D11" s="36" t="n">
        <x:f>B11*C11</x:f>
        <x:v>48.84107616274166</x:v>
      </x:c>
      <x:c r="E11" s="36" t="n">
        <x:f>E10+B11</x:f>
        <x:v>-16.585000000000022</x:v>
      </x:c>
      <x:c r="F11" s="36" t="n">
        <x:v>69.282</x:v>
      </x:c>
      <x:c r="G11" s="36" t="n">
        <x:f>B11-F11</x:f>
        <x:v>0</x:v>
      </x:c>
    </x:row>
    <x:row r="12">
      <x:c r="A12" s="30" t="n">
        <x:v>7</x:v>
      </x:c>
      <x:c r="B12" s="36" t="n">
        <x:f>ROUND(82*(1-1.5%)^(A12-1)-6.75-IF(A12=10,450*25%,0)+IF(A12=15,450*5%,0),3)</x:f>
        <x:v>68.141</x:v>
      </x:c>
      <x:c r="C12" s="36" t="n">
        <x:f>1/(1+6%)^A12</x:f>
        <x:v>0.6650571136223361</x:v>
      </x:c>
      <x:c r="D12" s="36" t="n">
        <x:f>B12*C12</x:f>
        <x:v>45.31765677933961</x:v>
      </x:c>
      <x:c r="E12" s="36" t="n">
        <x:f>E11+B12</x:f>
        <x:v>51.55599999999998</x:v>
      </x:c>
      <x:c r="F12" s="36" t="n">
        <x:v>68.141</x:v>
      </x:c>
      <x:c r="G12" s="36" t="n">
        <x:f>B12-F12</x:f>
        <x:v>0</x:v>
      </x:c>
    </x:row>
    <x:row r="13">
      <x:c r="A13" s="30" t="n">
        <x:v>8</x:v>
      </x:c>
      <x:c r="B13" s="36" t="n">
        <x:f>ROUND(82*(1-1.5%)^(A13-1)-6.75-IF(A13=10,450*25%,0)+IF(A13=15,450*5%,0),3)</x:f>
        <x:v>67.018</x:v>
      </x:c>
      <x:c r="C13" s="36" t="n">
        <x:f>1/(1+6%)^A13</x:f>
        <x:v>0.6274123713418265</x:v>
      </x:c>
      <x:c r="D13" s="36" t="n">
        <x:f>B13*C13</x:f>
        <x:v>42.04792230258653</x:v>
      </x:c>
      <x:c r="E13" s="36" t="n">
        <x:f>E12+B13</x:f>
        <x:v>118.57399999999998</x:v>
      </x:c>
      <x:c r="F13" s="36" t="n">
        <x:v>67.018</x:v>
      </x:c>
      <x:c r="G13" s="36" t="n">
        <x:f>B13-F13</x:f>
        <x:v>0</x:v>
      </x:c>
    </x:row>
    <x:row r="14">
      <x:c r="A14" s="30" t="n">
        <x:v>9</x:v>
      </x:c>
      <x:c r="B14" s="36" t="n">
        <x:f>ROUND(82*(1-1.5%)^(A14-1)-6.75-IF(A14=10,450*25%,0)+IF(A14=15,450*5%,0),3)</x:f>
        <x:v>65.911</x:v>
      </x:c>
      <x:c r="C14" s="36" t="n">
        <x:f>1/(1+6%)^A14</x:f>
        <x:v>0.591898463530025</x:v>
      </x:c>
      <x:c r="D14" s="36" t="n">
        <x:f>B14*C14</x:f>
        <x:v>39.012619629727475</x:v>
      </x:c>
      <x:c r="E14" s="36" t="n">
        <x:f>E13+B14</x:f>
        <x:v>184.48499999999999</x:v>
      </x:c>
      <x:c r="F14" s="36" t="n">
        <x:v>65.911</x:v>
      </x:c>
      <x:c r="G14" s="36" t="n">
        <x:f>B14-F14</x:f>
        <x:v>0</x:v>
      </x:c>
    </x:row>
    <x:row r="15">
      <x:c r="A15" s="30" t="n">
        <x:v>10</x:v>
      </x:c>
      <x:c r="B15" s="36" t="n">
        <x:f>ROUND(82*(1-1.5%)^(A15-1)-6.75-IF(A15=10,450*25%,0)+IF(A15=15,450*5%,0),3)</x:f>
        <x:v>-47.679</x:v>
      </x:c>
      <x:c r="C15" s="36" t="n">
        <x:f>1/(1+6%)^A15</x:f>
        <x:v>0.5583947769151179</x:v>
      </x:c>
      <x:c r="D15" s="36" t="n">
        <x:f>B15*C15</x:f>
        <x:v>-26.623704568535906</x:v>
      </x:c>
      <x:c r="E15" s="36" t="n">
        <x:f>E14+B15</x:f>
        <x:v>136.80599999999998</x:v>
      </x:c>
      <x:c r="F15" s="36" t="n">
        <x:v>-47.679</x:v>
      </x:c>
      <x:c r="G15" s="36" t="n">
        <x:f>B15-F15</x:f>
        <x:v>0</x:v>
      </x:c>
    </x:row>
    <x:row r="16">
      <x:c r="A16" s="30" t="n">
        <x:v>11</x:v>
      </x:c>
      <x:c r="B16" s="36" t="n">
        <x:f>ROUND(82*(1-1.5%)^(A16-1)-6.75-IF(A16=10,450*25%,0)+IF(A16=15,450*5%,0),3)</x:f>
        <x:v>63.748</x:v>
      </x:c>
      <x:c r="C16" s="36" t="n">
        <x:f>1/(1+6%)^A16</x:f>
        <x:v>0.5267875253916207</x:v>
      </x:c>
      <x:c r="D16" s="36" t="n">
        <x:f>B16*C16</x:f>
        <x:v>33.58165116866503</x:v>
      </x:c>
      <x:c r="E16" s="36" t="n">
        <x:f>E15+B16</x:f>
        <x:v>200.55399999999997</x:v>
      </x:c>
      <x:c r="F16" s="36" t="n">
        <x:v>63.748</x:v>
      </x:c>
      <x:c r="G16" s="36" t="n">
        <x:f>B16-F16</x:f>
        <x:v>0</x:v>
      </x:c>
    </x:row>
    <x:row r="17">
      <x:c r="A17" s="30" t="n">
        <x:v>12</x:v>
      </x:c>
      <x:c r="B17" s="36" t="n">
        <x:f>ROUND(82*(1-1.5%)^(A17-1)-6.75-IF(A17=10,450*25%,0)+IF(A17=15,450*5%,0),3)</x:f>
        <x:v>62.69</x:v>
      </x:c>
      <x:c r="C17" s="36" t="n">
        <x:f>1/(1+6%)^A17</x:f>
        <x:v>0.4969693635770006</x:v>
      </x:c>
      <x:c r="D17" s="36" t="n">
        <x:f>B17*C17</x:f>
        <x:v>31.15500940264217</x:v>
      </x:c>
      <x:c r="E17" s="36" t="n">
        <x:f>E16+B17</x:f>
        <x:v>263.24399999999997</x:v>
      </x:c>
      <x:c r="F17" s="36" t="n">
        <x:v>62.69</x:v>
      </x:c>
      <x:c r="G17" s="36" t="n">
        <x:f>B17-F17</x:f>
        <x:v>0</x:v>
      </x:c>
    </x:row>
    <x:row r="18">
      <x:c r="A18" s="30" t="n">
        <x:v>13</x:v>
      </x:c>
      <x:c r="B18" s="36" t="n">
        <x:f>ROUND(82*(1-1.5%)^(A18-1)-6.75-IF(A18=10,450*25%,0)+IF(A18=15,450*5%,0),3)</x:f>
        <x:v>61.649</x:v>
      </x:c>
      <x:c r="C18" s="36" t="n">
        <x:f>1/(1+6%)^A18</x:f>
        <x:v>0.46883902224245333</x:v>
      </x:c>
      <x:c r="D18" s="36" t="n">
        <x:f>B18*C18</x:f>
        <x:v>28.903456882225004</x:v>
      </x:c>
      <x:c r="E18" s="36" t="n">
        <x:f>E17+B18</x:f>
        <x:v>324.893</x:v>
      </x:c>
      <x:c r="F18" s="36" t="n">
        <x:v>61.649</x:v>
      </x:c>
      <x:c r="G18" s="36" t="n">
        <x:f>B18-F18</x:f>
        <x:v>0</x:v>
      </x:c>
    </x:row>
    <x:row r="19">
      <x:c r="A19" s="30" t="n">
        <x:v>14</x:v>
      </x:c>
      <x:c r="B19" s="36" t="n">
        <x:f>ROUND(82*(1-1.5%)^(A19-1)-6.75-IF(A19=10,450*25%,0)+IF(A19=15,450*5%,0),3)</x:f>
        <x:v>60.623</x:v>
      </x:c>
      <x:c r="C19" s="36" t="n">
        <x:f>1/(1+6%)^A19</x:f>
        <x:v>0.4423009643796729</x:v>
      </x:c>
      <x:c r="D19" s="36" t="n">
        <x:f>B19*C19</x:f>
        <x:v>26.81361136358891</x:v>
      </x:c>
      <x:c r="E19" s="36" t="n">
        <x:f>E18+B19</x:f>
        <x:v>385.51599999999996</x:v>
      </x:c>
      <x:c r="F19" s="36" t="n">
        <x:v>60.623</x:v>
      </x:c>
      <x:c r="G19" s="36" t="n">
        <x:f>B19-F19</x:f>
        <x:v>0</x:v>
      </x:c>
    </x:row>
    <x:row r="20">
      <x:c r="A20" s="30" t="n">
        <x:v>15</x:v>
      </x:c>
      <x:c r="B20" s="36" t="n">
        <x:f>ROUND(82*(1-1.5%)^(A20-1)-6.75-IF(A20=10,450*25%,0)+IF(A20=15,450*5%,0),3)</x:f>
        <x:v>82.112</x:v>
      </x:c>
      <x:c r="C20" s="36" t="n">
        <x:f>1/(1+6%)^A20</x:f>
        <x:v>0.4172650607355405</x:v>
      </x:c>
      <x:c r="D20" s="36" t="n">
        <x:f>B20*C20</x:f>
        <x:v>34.2624686671167</x:v>
      </x:c>
      <x:c r="E20" s="36" t="n">
        <x:f>E19+B20</x:f>
        <x:v>467.62799999999993</x:v>
      </x:c>
      <x:c r="F20" s="36" t="n">
        <x:v>82.112</x:v>
      </x:c>
      <x:c r="G20" s="36" t="n">
        <x:f>B20-F20</x:f>
        <x:v>0</x:v>
      </x:c>
    </x:row>
    <x:row r="21">
      <x:c r="A21" s="30"/>
      <x:c r="B21" s="36"/>
      <x:c r="C21" s="36"/>
      <x:c r="D21" s="36"/>
      <x:c r="E21" s="36"/>
      <x:c r="F21" s="36"/>
      <x:c r="G21" s="36"/>
    </x:row>
    <x:row r="22">
      <x:c r="A22" s="30" t="str">
        <x:v>NPV</x:v>
      </x:c>
      <x:c r="B22" s="36" t="n">
        <x:f>SUM(D5:D20)</x:f>
        <x:v>160.67352446617878</x:v>
      </x:c>
      <x:c r="C22" s="36"/>
      <x:c r="D22" s="36"/>
      <x:c r="E22" s="36"/>
      <x:c r="F22" s="36"/>
      <x:c r="G22" s="36"/>
    </x:row>
    <x:row r="23">
      <x:c r="A23" s="30" t="str">
        <x:v>IRR</x:v>
      </x:c>
      <x:c r="B23" s="36" t="n">
        <x:f>IRR(B5:B20)*100</x:f>
        <x:v>11.581476026881628</x:v>
      </x:c>
      <x:c r="C23" s="36"/>
      <x:c r="D23" s="36"/>
      <x:c r="E23" s="36"/>
      <x:c r="F23" s="36"/>
      <x:c r="G23" s="36"/>
    </x:row>
    <x:row r="24">
      <x:c r="A24" s="30" t="str">
        <x:v>静态回收期</x:v>
      </x:c>
      <x:c r="B24" s="36" t="n">
        <x:f>6+ABS(E11)/B12</x:f>
        <x:v>6.243392377570039</x:v>
      </x:c>
      <x:c r="C24" s="36"/>
      <x:c r="D24" s="36"/>
      <x:c r="E24" s="36"/>
      <x:c r="F24" s="36"/>
      <x:c r="G24" s="36"/>
    </x:row>
    <x:row r="25">
      <x:c r="A25" s="30"/>
      <x:c r="B25" s="30"/>
      <x:c r="C25" s="30"/>
      <x:c r="D25" s="30"/>
      <x:c r="E25" s="30"/>
      <x:c r="F25" s="30"/>
      <x:c r="G25" s="30"/>
    </x:row>
    <x:row r="26">
      <x:c r="A26" s="30"/>
      <x:c r="B26" s="30"/>
      <x:c r="C26" s="30"/>
      <x:c r="D26" s="30"/>
      <x:c r="E26" s="30"/>
      <x:c r="F26" s="30"/>
      <x:c r="G26" s="30"/>
    </x:row>
    <x:row r="27">
      <x:c r="A27" s="30"/>
      <x:c r="B27" s="30"/>
      <x:c r="C27" s="30"/>
      <x:c r="D27" s="30"/>
      <x:c r="E27" s="30"/>
      <x:c r="F27" s="30"/>
      <x:c r="G27" s="30"/>
    </x:row>
    <x:row r="28">
      <x:c r="A28" s="30"/>
      <x:c r="B28" s="30"/>
      <x:c r="C28" s="30"/>
      <x:c r="D28" s="30"/>
      <x:c r="E28" s="30"/>
      <x:c r="F28" s="30"/>
      <x:c r="G28" s="30"/>
    </x:row>
    <x:row r="29">
      <x:c r="A29" s="30"/>
      <x:c r="B29" s="30"/>
      <x:c r="C29" s="30"/>
      <x:c r="D29" s="30"/>
      <x:c r="E29" s="30"/>
      <x:c r="F29" s="30"/>
      <x:c r="G29" s="30"/>
    </x:row>
    <x:row r="30">
      <x:c r="A30" s="30"/>
      <x:c r="B30" s="30"/>
      <x:c r="C30" s="30"/>
      <x:c r="D30" s="30"/>
      <x:c r="E30" s="30"/>
      <x:c r="F30" s="30"/>
      <x:c r="G30" s="30"/>
    </x:row>
  </x:sheetData>
  <x:mergeCells>
    <x:mergeCell ref="A1:G1"/>
    <x:mergeCell ref="A2:G2"/>
  </x:mergeCells>
  <x:pageMargins left="0.7" right="0.7" top="0.75" bottom="0.75" header="0.3" footer="0.3"/>
</x:worksheet>
</file>