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88f06f638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输入与结果" sheetId="1" r:id="Rb003d17b3b924ad8"/>
    <x:sheet xmlns:r="http://schemas.openxmlformats.org/officeDocument/2006/relationships" name="25年现金流" sheetId="2" r:id="Re5cc6f1f9f884e2b"/>
    <x:sheet xmlns:r="http://schemas.openxmlformats.org/officeDocument/2006/relationships" name="检查" sheetId="3" r:id="R41660c24750a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00;[Red](#,##0.000);-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9CA3AF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top style="thin">
        <x:color rgb="FF9CA3AF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top style="thin">
        <x:color rgb="FFE5E7EB"/>
      </x:top>
      <x:bottom style="thin">
        <x:color rgb="FF9CA3A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bc7010de44ee7" /><Relationship Type="http://schemas.openxmlformats.org/officeDocument/2006/relationships/theme" Target="/xl/theme/theme1.xml" Id="R3d5d36ab74ba465c" /><Relationship Type="http://schemas.openxmlformats.org/officeDocument/2006/relationships/sharedStrings" Target="/xl/sharedStrings.xml" Id="R6f0829f799bc4c67" /><Relationship Type="http://schemas.openxmlformats.org/officeDocument/2006/relationships/worksheet" Target="/xl/worksheets/sheet1.xml" Id="Rb003d17b3b924ad8" /><Relationship Type="http://schemas.openxmlformats.org/officeDocument/2006/relationships/worksheet" Target="/xl/worksheets/sheet2.xml" Id="Re5cc6f1f9f884e2b" /><Relationship Type="http://schemas.openxmlformats.org/officeDocument/2006/relationships/worksheet" Target="/xl/worksheets/sheet3.xml" Id="R41660c24750a4f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</x:cols>
  <x:sheetData>
    <x:row r="1" ht="30" customHeight="1">
      <x:c r="A1" s="3" t="str">
        <x:v>光伏标准算例验证报告</x:v>
      </x:c>
      <x:c r="B1" s="3"/>
      <x:c r="C1" s="3"/>
      <x:c r="D1" s="3"/>
      <x:c r="E1" s="3"/>
      <x:c r="F1" s="3"/>
      <x:c r="G1" s="3"/>
    </x:row>
    <x:row r="2" ht="24" customHeight="1">
      <x:c r="A2" s="6" t="str">
        <x:v>GD-INDUSTRIAL-PARK-001 · 单位：kW、kWh、元/kWh、万元</x:v>
      </x:c>
      <x:c r="B2" s="6"/>
      <x:c r="C2" s="6"/>
      <x:c r="D2" s="6"/>
      <x:c r="E2" s="6"/>
      <x:c r="F2" s="6"/>
      <x:c r="G2" s="6"/>
    </x:row>
    <x:row r="4">
      <x:c r="A4" s="17" t="str">
        <x:v>输入项</x:v>
      </x:c>
      <x:c r="B4" s="18" t="str">
        <x:v>数值</x:v>
      </x:c>
      <x:c r="C4" s="19" t="str">
        <x:v>单位</x:v>
      </x:c>
    </x:row>
    <x:row r="5">
      <x:c r="A5" t="str">
        <x:v>装机容量</x:v>
      </x:c>
      <x:c r="B5" s="22" t="n">
        <x:v>1000</x:v>
      </x:c>
      <x:c r="C5" t="str">
        <x:v>kW</x:v>
      </x:c>
    </x:row>
    <x:row r="6">
      <x:c r="A6" t="str">
        <x:v>等效日照小时</x:v>
      </x:c>
      <x:c r="B6" s="23" t="n">
        <x:v>3.6</x:v>
      </x:c>
      <x:c r="C6" t="str">
        <x:v>h/d</x:v>
      </x:c>
    </x:row>
    <x:row r="7">
      <x:c r="A7" t="str">
        <x:v>发电天数</x:v>
      </x:c>
      <x:c r="B7" s="23" t="n">
        <x:v>365</x:v>
      </x:c>
      <x:c r="C7" t="str">
        <x:v>d</x:v>
      </x:c>
    </x:row>
    <x:row r="8">
      <x:c r="A8" t="str">
        <x:v>系统效率PR</x:v>
      </x:c>
      <x:c r="B8" s="25" t="n">
        <x:v>0.8</x:v>
      </x:c>
      <x:c r="C8" t="str">
        <x:v>比例</x:v>
      </x:c>
    </x:row>
    <x:row r="9">
      <x:c r="A9" t="str">
        <x:v>方位效率</x:v>
      </x:c>
      <x:c r="B9" s="25" t="n">
        <x:v>0.98</x:v>
      </x:c>
      <x:c r="C9" t="str">
        <x:v>比例</x:v>
      </x:c>
    </x:row>
    <x:row r="10">
      <x:c r="A10" t="str">
        <x:v>首年衰减</x:v>
      </x:c>
      <x:c r="B10" s="25" t="n">
        <x:v>0.01</x:v>
      </x:c>
      <x:c r="C10" t="str">
        <x:v>比例</x:v>
      </x:c>
    </x:row>
    <x:row r="11">
      <x:c r="A11" t="str">
        <x:v>逐年线性衰减</x:v>
      </x:c>
      <x:c r="B11" s="25" t="n">
        <x:v>0.0045</x:v>
      </x:c>
      <x:c r="C11" t="str">
        <x:v>比例</x:v>
      </x:c>
    </x:row>
    <x:row r="12">
      <x:c r="A12" t="str">
        <x:v>自用率</x:v>
      </x:c>
      <x:c r="B12" s="25" t="n">
        <x:v>0.85</x:v>
      </x:c>
      <x:c r="C12" t="str">
        <x:v>比例</x:v>
      </x:c>
    </x:row>
    <x:row r="13">
      <x:c r="A13" t="str">
        <x:v>自用电价</x:v>
      </x:c>
      <x:c r="B13" s="23" t="n">
        <x:v>0.82</x:v>
      </x:c>
      <x:c r="C13" t="str">
        <x:v>元/kWh</x:v>
      </x:c>
    </x:row>
    <x:row r="14">
      <x:c r="A14" t="str">
        <x:v>上网电价</x:v>
      </x:c>
      <x:c r="B14" s="23" t="n">
        <x:v>0.453</x:v>
      </x:c>
      <x:c r="C14" t="str">
        <x:v>元/kWh</x:v>
      </x:c>
    </x:row>
    <x:row r="15">
      <x:c r="A15" t="str">
        <x:v>EPC单价</x:v>
      </x:c>
      <x:c r="B15" s="24" t="n">
        <x:v>3.2</x:v>
      </x:c>
      <x:c r="C15" t="str">
        <x:v>元/Wp</x:v>
      </x:c>
    </x:row>
    <x:row r="17" ht="22" customHeight="1">
      <x:c r="A17" s="7" t="str">
        <x:v>独立公式复核</x:v>
      </x:c>
      <x:c r="B17" s="7"/>
      <x:c r="C17" s="7"/>
      <x:c r="D17" s="7"/>
      <x:c r="E17" s="7"/>
      <x:c r="F17" s="7"/>
      <x:c r="G17" s="7"/>
    </x:row>
    <x:row r="18">
      <x:c r="A18" s="17" t="str">
        <x:v>指标</x:v>
      </x:c>
      <x:c r="B18" s="18" t="str">
        <x:v>独立公式值</x:v>
      </x:c>
      <x:c r="C18" s="18" t="str">
        <x:v>代码期望值</x:v>
      </x:c>
      <x:c r="D18" s="18" t="str">
        <x:v>差异</x:v>
      </x:c>
      <x:c r="E18" s="18" t="str">
        <x:v>容差</x:v>
      </x:c>
      <x:c r="F18" s="18" t="str">
        <x:v>状态</x:v>
      </x:c>
      <x:c r="G18" s="19" t="str">
        <x:v>公式口径</x:v>
      </x:c>
    </x:row>
    <x:row r="19">
      <x:c r="A19" s="26" t="str">
        <x:v>首年发电量</x:v>
      </x:c>
      <x:c r="B19" s="26" t="n">
        <x:f>B5*B6*B7*B8*B9*(1-B10)</x:f>
        <x:v>1019874.24</x:v>
      </x:c>
      <x:c r="C19" s="26" t="n">
        <x:v>1019874.24</x:v>
      </x:c>
      <x:c r="D19" s="26" t="n">
        <x:f>B19-C19</x:f>
        <x:v>0</x:v>
      </x:c>
      <x:c r="E19" s="26" t="n">
        <x:v>0.01</x:v>
      </x:c>
      <x:c r="F19" s="26" t="str">
        <x:f>IF(ABS(D19)&lt;=E19,"OK","FAIL")</x:f>
        <x:v>OK</x:v>
      </x:c>
      <x:c r="G19" s="26" t="str">
        <x:v>容量×日照×天数×PR×方位×首年衰减</x:v>
      </x:c>
    </x:row>
    <x:row r="20">
      <x:c r="A20" s="26" t="str">
        <x:v>首年毛收益</x:v>
      </x:c>
      <x:c r="B20" s="26" t="n">
        <x:f>(B19*B12*B13+B19*(1-B12)*B14)/10000</x:f>
        <x:v>78.01527998879999</x:v>
      </x:c>
      <x:c r="C20" s="26" t="n">
        <x:v>78.015</x:v>
      </x:c>
      <x:c r="D20" s="26" t="n">
        <x:f>B20-C20</x:f>
        <x:v>0.00027998879998847315</x:v>
      </x:c>
      <x:c r="E20" s="26" t="n">
        <x:v>0.001</x:v>
      </x:c>
      <x:c r="F20" s="26" t="str">
        <x:f>IF(ABS(D20)&lt;=E20,"OK","FAIL")</x:f>
        <x:v>OK</x:v>
      </x:c>
      <x:c r="G20" s="26" t="str">
        <x:v>自用收益+上网收益</x:v>
      </x:c>
    </x:row>
    <x:row r="21">
      <x:c r="A21" s="26" t="str">
        <x:v>投资额</x:v>
      </x:c>
      <x:c r="B21" s="26" t="n">
        <x:f>B5*B15/10</x:f>
        <x:v>320</x:v>
      </x:c>
      <x:c r="C21" s="26" t="n">
        <x:v>320</x:v>
      </x:c>
      <x:c r="D21" s="26" t="n">
        <x:f>B21-C21</x:f>
        <x:v>0</x:v>
      </x:c>
      <x:c r="E21" s="26" t="n">
        <x:v>0.001</x:v>
      </x:c>
      <x:c r="F21" s="26" t="str">
        <x:f>IF(ABS(D21)&lt;=E21,"OK","FAIL")</x:f>
        <x:v>OK</x:v>
      </x:c>
      <x:c r="G21" s="26" t="str">
        <x:v>容量×EPC单价÷10</x:v>
      </x:c>
    </x:row>
    <x:row r="22">
      <x:c r="A22" s="26" t="str">
        <x:v>首年净收益</x:v>
      </x:c>
      <x:c r="B22" s="26" t="n">
        <x:f>'25年现金流'!B6</x:f>
        <x:v>74.015</x:v>
      </x:c>
      <x:c r="C22" s="26" t="n">
        <x:v>74.015</x:v>
      </x:c>
      <x:c r="D22" s="26" t="n">
        <x:f>B22-C22</x:f>
        <x:v>0</x:v>
      </x:c>
      <x:c r="E22" s="26" t="n">
        <x:v>0.001</x:v>
      </x:c>
      <x:c r="F22" s="26" t="str">
        <x:f>IF(ABS(D22)&lt;=E22,"OK","FAIL")</x:f>
        <x:v>OK</x:v>
      </x:c>
      <x:c r="G22" s="26" t="str">
        <x:v>首年毛收益-年度运维</x:v>
      </x:c>
    </x:row>
    <x:row r="23">
      <x:c r="A23" s="26" t="str">
        <x:v>NPV</x:v>
      </x:c>
      <x:c r="B23" s="26" t="n">
        <x:f>'25年现金流'!B32</x:f>
        <x:v>586.6353503918933</x:v>
      </x:c>
      <x:c r="C23" s="26" t="n">
        <x:v>586.635</x:v>
      </x:c>
      <x:c r="D23" s="26" t="n">
        <x:f>B23-C23</x:f>
        <x:v>0.00035039189333474496</x:v>
      </x:c>
      <x:c r="E23" s="26" t="n">
        <x:v>0.001</x:v>
      </x:c>
      <x:c r="F23" s="26" t="str">
        <x:f>IF(ABS(D23)&lt;=E23,"OK","FAIL")</x:f>
        <x:v>OK</x:v>
      </x:c>
      <x:c r="G23" s="26" t="str">
        <x:v>折现现金流合计</x:v>
      </x:c>
    </x:row>
    <x:row r="24">
      <x:c r="A24" s="26" t="str">
        <x:v>静态回收期</x:v>
      </x:c>
      <x:c r="B24" s="26" t="n">
        <x:f>'25年现金流'!B34</x:f>
        <x:v>4.358565133572019</x:v>
      </x:c>
      <x:c r="C24" s="26" t="n">
        <x:v>4.359</x:v>
      </x:c>
      <x:c r="D24" s="26" t="n">
        <x:f>B24-C24</x:f>
        <x:v>-0.00043486642798118424</x:v>
      </x:c>
      <x:c r="E24" s="26" t="n">
        <x:v>0.001</x:v>
      </x:c>
      <x:c r="F24" s="26" t="str">
        <x:f>IF(ABS(D24)&lt;=E24,"OK","FAIL")</x:f>
        <x:v>OK</x:v>
      </x:c>
      <x:c r="G24" s="26" t="str">
        <x:v>累计现金流线性插值</x:v>
      </x:c>
    </x:row>
  </x:sheetData>
  <x:mergeCells>
    <x:mergeCell ref="A1:G1"/>
    <x:mergeCell ref="A2:G2"/>
    <x:mergeCell ref="A17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</x:cols>
  <x:sheetData>
    <x:row r="1" ht="30" customHeight="1">
      <x:c r="A1" s="3" t="str">
        <x:v>光伏25年现金流复核</x:v>
      </x:c>
      <x:c r="B1" s="3"/>
      <x:c r="C1" s="3"/>
      <x:c r="D1" s="3"/>
      <x:c r="E1" s="3"/>
      <x:c r="F1" s="3"/>
      <x:c r="G1" s="3"/>
    </x:row>
    <x:row r="2" ht="24" customHeight="1">
      <x:c r="A2" s="6" t="str">
        <x:v>公式逐年计算；蓝色为引用输入，黑色为公式</x:v>
      </x:c>
      <x:c r="B2" s="6"/>
      <x:c r="C2" s="6"/>
      <x:c r="D2" s="6"/>
      <x:c r="E2" s="6"/>
      <x:c r="F2" s="6"/>
      <x:c r="G2" s="6"/>
    </x:row>
    <x:row r="4">
      <x:c r="A4" s="28" t="str">
        <x:v>年份</x:v>
      </x:c>
      <x:c r="B4" s="29" t="str">
        <x:v>净现金流</x:v>
      </x:c>
      <x:c r="C4" s="29" t="str">
        <x:v>折现因子</x:v>
      </x:c>
      <x:c r="D4" s="29" t="str">
        <x:v>现金流现值</x:v>
      </x:c>
      <x:c r="E4" s="29" t="str">
        <x:v>累计现金流</x:v>
      </x:c>
      <x:c r="F4" s="29" t="str">
        <x:v>代码期望值</x:v>
      </x:c>
      <x:c r="G4" s="30" t="str">
        <x:v>差异</x:v>
      </x:c>
    </x:row>
    <x:row r="5">
      <x:c r="A5" s="31" t="n">
        <x:v>0</x:v>
      </x:c>
      <x:c r="B5" s="32" t="n">
        <x:f>-'输入与结果'!B21</x:f>
        <x:v>-320</x:v>
      </x:c>
      <x:c r="C5" s="32" t="n">
        <x:f>1/(1+6%)^A5</x:f>
        <x:v>1</x:v>
      </x:c>
      <x:c r="D5" s="32" t="n">
        <x:f>B5*C5</x:f>
        <x:v>-320</x:v>
      </x:c>
      <x:c r="E5" s="32" t="n">
        <x:f>B5</x:f>
        <x:v>-320</x:v>
      </x:c>
      <x:c r="F5" s="32" t="n">
        <x:v>-320</x:v>
      </x:c>
      <x:c r="G5" s="33" t="n">
        <x:f>B5-F5</x:f>
        <x:v>0</x:v>
      </x:c>
    </x:row>
    <x:row r="6">
      <x:c r="A6" s="31" t="n">
        <x:v>1</x:v>
      </x:c>
      <x:c r="B6" s="32" t="n">
        <x:f>ROUND('输入与结果'!$B$20-'输入与结果'!$B$5*0.04/10,3)</x:f>
        <x:v>74.015</x:v>
      </x:c>
      <x:c r="C6" s="32" t="n">
        <x:f>1/(1+6%)^A6</x:f>
        <x:v>0.9433962264150942</x:v>
      </x:c>
      <x:c r="D6" s="32" t="n">
        <x:f>B6*C6</x:f>
        <x:v>69.8254716981132</x:v>
      </x:c>
      <x:c r="E6" s="32" t="n">
        <x:f>E5+B6</x:f>
        <x:v>-245.985</x:v>
      </x:c>
      <x:c r="F6" s="32" t="n">
        <x:v>74.015</x:v>
      </x:c>
      <x:c r="G6" s="33" t="n">
        <x:f>B6-F6</x:f>
        <x:v>0</x:v>
      </x:c>
    </x:row>
    <x:row r="7">
      <x:c r="A7" s="31" t="n">
        <x:v>2</x:v>
      </x:c>
      <x:c r="B7" s="32" t="n">
        <x:f>ROUND('输入与结果'!$B$20*(1-'输入与结果'!$B$11)^(A7-1)-'输入与结果'!$B$5*0.04/10,3)</x:f>
        <x:v>73.664</x:v>
      </x:c>
      <x:c r="C7" s="32" t="n">
        <x:f>1/(1+6%)^A7</x:f>
        <x:v>0.8899964400142398</x:v>
      </x:c>
      <x:c r="D7" s="32" t="n">
        <x:f>B7*C7</x:f>
        <x:v>65.56069775720897</x:v>
      </x:c>
      <x:c r="E7" s="32" t="n">
        <x:f>E6+B7</x:f>
        <x:v>-172.32100000000003</x:v>
      </x:c>
      <x:c r="F7" s="32" t="n">
        <x:v>73.664</x:v>
      </x:c>
      <x:c r="G7" s="33" t="n">
        <x:f>B7-F7</x:f>
        <x:v>0</x:v>
      </x:c>
    </x:row>
    <x:row r="8">
      <x:c r="A8" s="31" t="n">
        <x:v>3</x:v>
      </x:c>
      <x:c r="B8" s="32" t="n">
        <x:f>ROUND('输入与结果'!$B$20*(1-'输入与结果'!$B$11)^(A8-1)-'输入与结果'!$B$5*0.04/10,3)</x:f>
        <x:v>73.315</x:v>
      </x:c>
      <x:c r="C8" s="32" t="n">
        <x:f>1/(1+6%)^A8</x:f>
        <x:v>0.8396192830323018</x:v>
      </x:c>
      <x:c r="D8" s="32" t="n">
        <x:f>B8*C8</x:f>
        <x:v>61.55668773551321</x:v>
      </x:c>
      <x:c r="E8" s="32" t="n">
        <x:f>E7+B8</x:f>
        <x:v>-99.00600000000003</x:v>
      </x:c>
      <x:c r="F8" s="32" t="n">
        <x:v>73.315</x:v>
      </x:c>
      <x:c r="G8" s="33" t="n">
        <x:f>B8-F8</x:f>
        <x:v>0</x:v>
      </x:c>
    </x:row>
    <x:row r="9">
      <x:c r="A9" s="31" t="n">
        <x:v>4</x:v>
      </x:c>
      <x:c r="B9" s="32" t="n">
        <x:f>ROUND('输入与结果'!$B$20*(1-'输入与结果'!$B$11)^(A9-1)-'输入与结果'!$B$5*0.04/10,3)</x:f>
        <x:v>72.967</x:v>
      </x:c>
      <x:c r="C9" s="32" t="n">
        <x:f>1/(1+6%)^A9</x:f>
        <x:v>0.7920936632380204</x:v>
      </x:c>
      <x:c r="D9" s="32" t="n">
        <x:f>B9*C9</x:f>
        <x:v>57.796698325488634</x:v>
      </x:c>
      <x:c r="E9" s="32" t="n">
        <x:f>E8+B9</x:f>
        <x:v>-26.03900000000003</x:v>
      </x:c>
      <x:c r="F9" s="32" t="n">
        <x:v>72.967</x:v>
      </x:c>
      <x:c r="G9" s="33" t="n">
        <x:f>B9-F9</x:f>
        <x:v>0</x:v>
      </x:c>
    </x:row>
    <x:row r="10">
      <x:c r="A10" s="31" t="n">
        <x:v>5</x:v>
      </x:c>
      <x:c r="B10" s="32" t="n">
        <x:f>ROUND('输入与结果'!$B$20*(1-'输入与结果'!$B$11)^(A10-1)-'输入与结果'!$B$5*0.04/10,3)</x:f>
        <x:v>72.62</x:v>
      </x:c>
      <x:c r="C10" s="32" t="n">
        <x:f>1/(1+6%)^A10</x:f>
        <x:v>0.747258172866057</x:v>
      </x:c>
      <x:c r="D10" s="32" t="n">
        <x:f>B10*C10</x:f>
        <x:v>54.26588851353306</x:v>
      </x:c>
      <x:c r="E10" s="32" t="n">
        <x:f>E9+B10</x:f>
        <x:v>46.580999999999975</x:v>
      </x:c>
      <x:c r="F10" s="32" t="n">
        <x:v>72.62</x:v>
      </x:c>
      <x:c r="G10" s="33" t="n">
        <x:f>B10-F10</x:f>
        <x:v>0</x:v>
      </x:c>
    </x:row>
    <x:row r="11">
      <x:c r="A11" s="31" t="n">
        <x:v>6</x:v>
      </x:c>
      <x:c r="B11" s="32" t="n">
        <x:f>ROUND('输入与结果'!$B$20*(1-'输入与结果'!$B$11)^(A11-1)-'输入与结果'!$B$5*0.04/10,3)</x:f>
        <x:v>72.276</x:v>
      </x:c>
      <x:c r="C11" s="32" t="n">
        <x:f>1/(1+6%)^A11</x:f>
        <x:v>0.7049605404396764</x:v>
      </x:c>
      <x:c r="D11" s="32" t="n">
        <x:f>B11*C11</x:f>
        <x:v>50.951728020818045</x:v>
      </x:c>
      <x:c r="E11" s="32" t="n">
        <x:f>E10+B11</x:f>
        <x:v>118.85699999999997</x:v>
      </x:c>
      <x:c r="F11" s="32" t="n">
        <x:v>72.276</x:v>
      </x:c>
      <x:c r="G11" s="33" t="n">
        <x:f>B11-F11</x:f>
        <x:v>0</x:v>
      </x:c>
    </x:row>
    <x:row r="12">
      <x:c r="A12" s="31" t="n">
        <x:v>7</x:v>
      </x:c>
      <x:c r="B12" s="32" t="n">
        <x:f>ROUND('输入与结果'!$B$20*(1-'输入与结果'!$B$11)^(A12-1)-'输入与结果'!$B$5*0.04/10,3)</x:f>
        <x:v>71.932</x:v>
      </x:c>
      <x:c r="C12" s="32" t="n">
        <x:f>1/(1+6%)^A12</x:f>
        <x:v>0.6650571136223361</x:v>
      </x:c>
      <x:c r="D12" s="32" t="n">
        <x:f>B12*C12</x:f>
        <x:v>47.83888829708188</x:v>
      </x:c>
      <x:c r="E12" s="32" t="n">
        <x:f>E11+B12</x:f>
        <x:v>190.789</x:v>
      </x:c>
      <x:c r="F12" s="32" t="n">
        <x:v>71.932</x:v>
      </x:c>
      <x:c r="G12" s="33" t="n">
        <x:f>B12-F12</x:f>
        <x:v>0</x:v>
      </x:c>
    </x:row>
    <x:row r="13">
      <x:c r="A13" s="31" t="n">
        <x:v>8</x:v>
      </x:c>
      <x:c r="B13" s="32" t="n">
        <x:f>ROUND('输入与结果'!$B$20*(1-'输入与结果'!$B$11)^(A13-1)-'输入与结果'!$B$5*0.04/10,3)</x:f>
        <x:v>71.591</x:v>
      </x:c>
      <x:c r="C13" s="32" t="n">
        <x:f>1/(1+6%)^A13</x:f>
        <x:v>0.6274123713418265</x:v>
      </x:c>
      <x:c r="D13" s="32" t="n">
        <x:f>B13*C13</x:f>
        <x:v>44.9170790767327</x:v>
      </x:c>
      <x:c r="E13" s="32" t="n">
        <x:f>E12+B13</x:f>
        <x:v>262.38</x:v>
      </x:c>
      <x:c r="F13" s="32" t="n">
        <x:v>71.591</x:v>
      </x:c>
      <x:c r="G13" s="33" t="n">
        <x:f>B13-F13</x:f>
        <x:v>0</x:v>
      </x:c>
    </x:row>
    <x:row r="14">
      <x:c r="A14" s="31" t="n">
        <x:v>9</x:v>
      </x:c>
      <x:c r="B14" s="32" t="n">
        <x:f>ROUND('输入与结果'!$B$20*(1-'输入与结果'!$B$11)^(A14-1)-'输入与结果'!$B$5*0.04/10,3)</x:f>
        <x:v>71.251</x:v>
      </x:c>
      <x:c r="C14" s="32" t="n">
        <x:f>1/(1+6%)^A14</x:f>
        <x:v>0.591898463530025</x:v>
      </x:c>
      <x:c r="D14" s="32" t="n">
        <x:f>B14*C14</x:f>
        <x:v>42.17335742497781</x:v>
      </x:c>
      <x:c r="E14" s="32" t="n">
        <x:f>E13+B14</x:f>
        <x:v>333.631</x:v>
      </x:c>
      <x:c r="F14" s="32" t="n">
        <x:v>71.251</x:v>
      </x:c>
      <x:c r="G14" s="33" t="n">
        <x:f>B14-F14</x:f>
        <x:v>0</x:v>
      </x:c>
    </x:row>
    <x:row r="15">
      <x:c r="A15" s="31" t="n">
        <x:v>10</x:v>
      </x:c>
      <x:c r="B15" s="32" t="n">
        <x:f>ROUND('输入与结果'!$B$20*(1-'输入与结果'!$B$11)^(A15-1)-'输入与结果'!$B$5*0.04/10,3)</x:f>
        <x:v>70.912</x:v>
      </x:c>
      <x:c r="C15" s="32" t="n">
        <x:f>1/(1+6%)^A15</x:f>
        <x:v>0.5583947769151179</x:v>
      </x:c>
      <x:c r="D15" s="32" t="n">
        <x:f>B15*C15</x:f>
        <x:v>39.59689042060484</x:v>
      </x:c>
      <x:c r="E15" s="32" t="n">
        <x:f>E14+B15</x:f>
        <x:v>404.543</x:v>
      </x:c>
      <x:c r="F15" s="32" t="n">
        <x:v>70.912</x:v>
      </x:c>
      <x:c r="G15" s="33" t="n">
        <x:f>B15-F15</x:f>
        <x:v>0</x:v>
      </x:c>
    </x:row>
    <x:row r="16">
      <x:c r="A16" s="31" t="n">
        <x:v>11</x:v>
      </x:c>
      <x:c r="B16" s="32" t="n">
        <x:f>ROUND('输入与结果'!$B$20*(1-'输入与结果'!$B$11)^(A16-1)-'输入与结果'!$B$5*0.04/10,3)</x:f>
        <x:v>70.575</x:v>
      </x:c>
      <x:c r="C16" s="32" t="n">
        <x:f>1/(1+6%)^A16</x:f>
        <x:v>0.5267875253916207</x:v>
      </x:c>
      <x:c r="D16" s="32" t="n">
        <x:f>B16*C16</x:f>
        <x:v>37.17802960451363</x:v>
      </x:c>
      <x:c r="E16" s="32" t="n">
        <x:f>E15+B16</x:f>
        <x:v>475.118</x:v>
      </x:c>
      <x:c r="F16" s="32" t="n">
        <x:v>70.575</x:v>
      </x:c>
      <x:c r="G16" s="33" t="n">
        <x:f>B16-F16</x:f>
        <x:v>0</x:v>
      </x:c>
    </x:row>
    <x:row r="17">
      <x:c r="A17" s="31" t="n">
        <x:v>12</x:v>
      </x:c>
      <x:c r="B17" s="32" t="n">
        <x:f>ROUND('输入与结果'!$B$20*(1-'输入与结果'!$B$11)^(A17-1)-'输入与结果'!$B$5*0.04/10,3)</x:f>
        <x:v>70.239</x:v>
      </x:c>
      <x:c r="C17" s="32" t="n">
        <x:f>1/(1+6%)^A17</x:f>
        <x:v>0.4969693635770006</x:v>
      </x:c>
      <x:c r="D17" s="32" t="n">
        <x:f>B17*C17</x:f>
        <x:v>34.90663112828495</x:v>
      </x:c>
      <x:c r="E17" s="32" t="n">
        <x:f>E16+B17</x:f>
        <x:v>545.357</x:v>
      </x:c>
      <x:c r="F17" s="32" t="n">
        <x:v>70.239</x:v>
      </x:c>
      <x:c r="G17" s="33" t="n">
        <x:f>B17-F17</x:f>
        <x:v>0</x:v>
      </x:c>
    </x:row>
    <x:row r="18">
      <x:c r="A18" s="31" t="n">
        <x:v>13</x:v>
      </x:c>
      <x:c r="B18" s="32" t="n">
        <x:f>ROUND('输入与结果'!$B$20*(1-'输入与结果'!$B$11)^(A18-1)-'输入与结果'!$B$5*0.04/10,3)</x:f>
        <x:v>69.905</x:v>
      </x:c>
      <x:c r="C18" s="32" t="n">
        <x:f>1/(1+6%)^A18</x:f>
        <x:v>0.46883902224245333</x:v>
      </x:c>
      <x:c r="D18" s="32" t="n">
        <x:f>B18*C18</x:f>
        <x:v>32.7741918498587</x:v>
      </x:c>
      <x:c r="E18" s="32" t="n">
        <x:f>E17+B18</x:f>
        <x:v>615.262</x:v>
      </x:c>
      <x:c r="F18" s="32" t="n">
        <x:v>69.905</x:v>
      </x:c>
      <x:c r="G18" s="33" t="n">
        <x:f>B18-F18</x:f>
        <x:v>0</x:v>
      </x:c>
    </x:row>
    <x:row r="19">
      <x:c r="A19" s="31" t="n">
        <x:v>14</x:v>
      </x:c>
      <x:c r="B19" s="32" t="n">
        <x:f>ROUND('输入与结果'!$B$20*(1-'输入与结果'!$B$11)^(A19-1)-'输入与结果'!$B$5*0.04/10,3)</x:f>
        <x:v>69.573</x:v>
      </x:c>
      <x:c r="C19" s="32" t="n">
        <x:f>1/(1+6%)^A19</x:f>
        <x:v>0.4423009643796729</x:v>
      </x:c>
      <x:c r="D19" s="32" t="n">
        <x:f>B19*C19</x:f>
        <x:v>30.772204994786982</x:v>
      </x:c>
      <x:c r="E19" s="32" t="n">
        <x:f>E18+B19</x:f>
        <x:v>684.8349999999999</x:v>
      </x:c>
      <x:c r="F19" s="32" t="n">
        <x:v>69.573</x:v>
      </x:c>
      <x:c r="G19" s="33" t="n">
        <x:f>B19-F19</x:f>
        <x:v>0</x:v>
      </x:c>
    </x:row>
    <x:row r="20">
      <x:c r="A20" s="31" t="n">
        <x:v>15</x:v>
      </x:c>
      <x:c r="B20" s="32" t="n">
        <x:f>ROUND('输入与结果'!$B$20*(1-'输入与结果'!$B$11)^(A20-1)-'输入与结果'!$B$5*0.04/10,3)</x:f>
        <x:v>69.242</x:v>
      </x:c>
      <x:c r="C20" s="32" t="n">
        <x:f>1/(1+6%)^A20</x:f>
        <x:v>0.4172650607355405</x:v>
      </x:c>
      <x:c r="D20" s="32" t="n">
        <x:f>B20*C20</x:f>
        <x:v>28.892267335450295</x:v>
      </x:c>
      <x:c r="E20" s="32" t="n">
        <x:f>E19+B20</x:f>
        <x:v>754.0769999999999</x:v>
      </x:c>
      <x:c r="F20" s="32" t="n">
        <x:v>69.242</x:v>
      </x:c>
      <x:c r="G20" s="33" t="n">
        <x:f>B20-F20</x:f>
        <x:v>0</x:v>
      </x:c>
    </x:row>
    <x:row r="21">
      <x:c r="A21" s="31" t="n">
        <x:v>16</x:v>
      </x:c>
      <x:c r="B21" s="32" t="n">
        <x:f>ROUND('输入与结果'!$B$20*(1-'输入与结果'!$B$11)^(A21-1)-'输入与结果'!$B$5*0.04/10,3)</x:f>
        <x:v>68.912</x:v>
      </x:c>
      <x:c r="C21" s="32" t="n">
        <x:f>1/(1+6%)^A21</x:f>
        <x:v>0.39364628371277405</x:v>
      </x:c>
      <x:c r="D21" s="32" t="n">
        <x:f>B21*C21</x:f>
        <x:v>27.126952703214688</x:v>
      </x:c>
      <x:c r="E21" s="32" t="n">
        <x:f>E20+B21</x:f>
        <x:v>822.9889999999999</x:v>
      </x:c>
      <x:c r="F21" s="32" t="n">
        <x:v>68.912</x:v>
      </x:c>
      <x:c r="G21" s="33" t="n">
        <x:f>B21-F21</x:f>
        <x:v>0</x:v>
      </x:c>
    </x:row>
    <x:row r="22">
      <x:c r="A22" s="31" t="n">
        <x:v>17</x:v>
      </x:c>
      <x:c r="B22" s="32" t="n">
        <x:f>ROUND('输入与结果'!$B$20*(1-'输入与结果'!$B$11)^(A22-1)-'输入与结果'!$B$5*0.04/10,3)</x:f>
        <x:v>68.584</x:v>
      </x:c>
      <x:c r="C22" s="32" t="n">
        <x:f>1/(1+6%)^A22</x:f>
        <x:v>0.3713644185969566</x:v>
      </x:c>
      <x:c r="D22" s="32" t="n">
        <x:f>B22*C22</x:f>
        <x:v>25.469657285053675</x:v>
      </x:c>
      <x:c r="E22" s="32" t="n">
        <x:f>E21+B22</x:f>
        <x:v>891.5729999999999</x:v>
      </x:c>
      <x:c r="F22" s="32" t="n">
        <x:v>68.584</x:v>
      </x:c>
      <x:c r="G22" s="33" t="n">
        <x:f>B22-F22</x:f>
        <x:v>0</x:v>
      </x:c>
    </x:row>
    <x:row r="23">
      <x:c r="A23" s="31" t="n">
        <x:v>18</x:v>
      </x:c>
      <x:c r="B23" s="32" t="n">
        <x:f>ROUND('输入与结果'!$B$20*(1-'输入与结果'!$B$11)^(A23-1)-'输入与结果'!$B$5*0.04/10,3)</x:f>
        <x:v>68.257</x:v>
      </x:c>
      <x:c r="C23" s="32" t="n">
        <x:f>1/(1+6%)^A23</x:f>
        <x:v>0.35034379112920433</x:v>
      </x:c>
      <x:c r="D23" s="32" t="n">
        <x:f>B23*C23</x:f>
        <x:v>23.9134161511061</x:v>
      </x:c>
      <x:c r="E23" s="32" t="n">
        <x:f>E22+B23</x:f>
        <x:v>959.8299999999999</x:v>
      </x:c>
      <x:c r="F23" s="32" t="n">
        <x:v>68.257</x:v>
      </x:c>
      <x:c r="G23" s="33" t="n">
        <x:f>B23-F23</x:f>
        <x:v>0</x:v>
      </x:c>
    </x:row>
    <x:row r="24">
      <x:c r="A24" s="31" t="n">
        <x:v>19</x:v>
      </x:c>
      <x:c r="B24" s="32" t="n">
        <x:f>ROUND('输入与结果'!$B$20*(1-'输入与结果'!$B$11)^(A24-1)-'输入与结果'!$B$5*0.04/10,3)</x:f>
        <x:v>67.932</x:v>
      </x:c>
      <x:c r="C24" s="32" t="n">
        <x:f>1/(1+6%)^A24</x:f>
        <x:v>0.33051301049924936</x:v>
      </x:c>
      <x:c r="D24" s="32" t="n">
        <x:f>B24*C24</x:f>
        <x:v>22.45240982923501</x:v>
      </x:c>
      <x:c r="E24" s="32" t="n">
        <x:f>E23+B24</x:f>
        <x:v>1027.762</x:v>
      </x:c>
      <x:c r="F24" s="32" t="n">
        <x:v>67.932</x:v>
      </x:c>
      <x:c r="G24" s="33" t="n">
        <x:f>B24-F24</x:f>
        <x:v>0</x:v>
      </x:c>
    </x:row>
    <x:row r="25">
      <x:c r="A25" s="31" t="n">
        <x:v>20</x:v>
      </x:c>
      <x:c r="B25" s="32" t="n">
        <x:f>ROUND('输入与结果'!$B$20*(1-'输入与结果'!$B$11)^(A25-1)-'输入与结果'!$B$5*0.04/10,3)</x:f>
        <x:v>67.608</x:v>
      </x:c>
      <x:c r="C25" s="32" t="n">
        <x:f>1/(1+6%)^A25</x:f>
        <x:v>0.3118047268860843</x:v>
      </x:c>
      <x:c r="D25" s="32" t="n">
        <x:f>B25*C25</x:f>
        <x:v>21.08049397531439</x:v>
      </x:c>
      <x:c r="E25" s="32" t="n">
        <x:f>E24+B25</x:f>
        <x:v>1095.37</x:v>
      </x:c>
      <x:c r="F25" s="32" t="n">
        <x:v>67.608</x:v>
      </x:c>
      <x:c r="G25" s="33" t="n">
        <x:f>B25-F25</x:f>
        <x:v>0</x:v>
      </x:c>
    </x:row>
    <x:row r="26">
      <x:c r="A26" s="31" t="n">
        <x:v>21</x:v>
      </x:c>
      <x:c r="B26" s="32" t="n">
        <x:f>ROUND('输入与结果'!$B$20*(1-'输入与结果'!$B$11)^(A26-1)-'输入与结果'!$B$5*0.04/10,3)</x:f>
        <x:v>67.286</x:v>
      </x:c>
      <x:c r="C26" s="32" t="n">
        <x:f>1/(1+6%)^A26</x:f>
        <x:v>0.294155402722721</x:v>
      </x:c>
      <x:c r="D26" s="32" t="n">
        <x:f>B26*C26</x:f>
        <x:v>19.792540427601004</x:v>
      </x:c>
      <x:c r="E26" s="32" t="n">
        <x:f>E25+B26</x:f>
        <x:v>1162.656</x:v>
      </x:c>
      <x:c r="F26" s="32" t="n">
        <x:v>67.286</x:v>
      </x:c>
      <x:c r="G26" s="33" t="n">
        <x:f>B26-F26</x:f>
        <x:v>0</x:v>
      </x:c>
    </x:row>
    <x:row r="27">
      <x:c r="A27" s="31" t="n">
        <x:v>22</x:v>
      </x:c>
      <x:c r="B27" s="32" t="n">
        <x:f>ROUND('输入与结果'!$B$20*(1-'输入与结果'!$B$11)^(A27-1)-'输入与结果'!$B$5*0.04/10,3)</x:f>
        <x:v>66.965</x:v>
      </x:c>
      <x:c r="C27" s="32" t="n">
        <x:f>1/(1+6%)^A27</x:f>
        <x:v>0.27750509690822733</x:v>
      </x:c>
      <x:c r="D27" s="32" t="n">
        <x:f>B27*C27</x:f>
        <x:v>18.583128814459446</x:v>
      </x:c>
      <x:c r="E27" s="32" t="n">
        <x:f>E26+B27</x:f>
        <x:v>1229.6209999999999</x:v>
      </x:c>
      <x:c r="F27" s="32" t="n">
        <x:v>66.965</x:v>
      </x:c>
      <x:c r="G27" s="33" t="n">
        <x:f>B27-F27</x:f>
        <x:v>0</x:v>
      </x:c>
    </x:row>
    <x:row r="28">
      <x:c r="A28" s="31" t="n">
        <x:v>23</x:v>
      </x:c>
      <x:c r="B28" s="32" t="n">
        <x:f>ROUND('输入与结果'!$B$20*(1-'输入与结果'!$B$11)^(A28-1)-'输入与结果'!$B$5*0.04/10,3)</x:f>
        <x:v>66.646</x:v>
      </x:c>
      <x:c r="C28" s="32" t="n">
        <x:f>1/(1+6%)^A28</x:f>
        <x:v>0.26179726123417674</x:v>
      </x:c>
      <x:c r="D28" s="32" t="n">
        <x:f>B28*C28</x:f>
        <x:v>17.447740272212943</x:v>
      </x:c>
      <x:c r="E28" s="32" t="n">
        <x:f>E27+B28</x:f>
        <x:v>1296.2669999999998</x:v>
      </x:c>
      <x:c r="F28" s="32" t="n">
        <x:v>66.646</x:v>
      </x:c>
      <x:c r="G28" s="33" t="n">
        <x:f>B28-F28</x:f>
        <x:v>0</x:v>
      </x:c>
    </x:row>
    <x:row r="29">
      <x:c r="A29" s="31" t="n">
        <x:v>24</x:v>
      </x:c>
      <x:c r="B29" s="32" t="n">
        <x:f>ROUND('输入与结果'!$B$20*(1-'输入与结果'!$B$11)^(A29-1)-'输入与结果'!$B$5*0.04/10,3)</x:f>
        <x:v>66.328</x:v>
      </x:c>
      <x:c r="C29" s="32" t="n">
        <x:f>1/(1+6%)^A29</x:f>
        <x:v>0.24697854833412897</x:v>
      </x:c>
      <x:c r="D29" s="32" t="n">
        <x:f>B29*C29</x:f>
        <x:v>16.381593153906106</x:v>
      </x:c>
      <x:c r="E29" s="32" t="n">
        <x:f>E28+B29</x:f>
        <x:v>1362.5949999999998</x:v>
      </x:c>
      <x:c r="F29" s="32" t="n">
        <x:v>66.328</x:v>
      </x:c>
      <x:c r="G29" s="33" t="n">
        <x:f>B29-F29</x:f>
        <x:v>0</x:v>
      </x:c>
    </x:row>
    <x:row r="30">
      <x:c r="A30" s="31" t="n">
        <x:v>25</x:v>
      </x:c>
      <x:c r="B30" s="32" t="n">
        <x:f>ROUND('输入与结果'!$B$20*(1-'输入与结果'!$B$11)^(A30-1)-'输入与结果'!$B$5*0.04/10,3)</x:f>
        <x:v>66.012</x:v>
      </x:c>
      <x:c r="C30" s="32" t="n">
        <x:f>1/(1+6%)^A30</x:f>
        <x:v>0.23299863050389524</x:v>
      </x:c>
      <x:c r="D30" s="32" t="n">
        <x:f>B30*C30</x:f>
        <x:v>15.380705596823132</x:v>
      </x:c>
      <x:c r="E30" s="32" t="n">
        <x:f>E29+B30</x:f>
        <x:v>1428.6069999999997</x:v>
      </x:c>
      <x:c r="F30" s="32" t="n">
        <x:v>66.012</x:v>
      </x:c>
      <x:c r="G30" s="33" t="n">
        <x:f>B30-F30</x:f>
        <x:v>0</x:v>
      </x:c>
    </x:row>
    <x:row r="31">
      <x:c r="A31" s="31"/>
      <x:c r="B31" s="32"/>
      <x:c r="C31" s="32"/>
      <x:c r="D31" s="32"/>
      <x:c r="E31" s="32"/>
      <x:c r="F31" s="32"/>
      <x:c r="G31" s="33"/>
    </x:row>
    <x:row r="32">
      <x:c r="A32" s="31" t="str">
        <x:v>NPV</x:v>
      </x:c>
      <x:c r="B32" s="32" t="n">
        <x:f>SUM(D5:D30)</x:f>
        <x:v>586.6353503918933</x:v>
      </x:c>
      <x:c r="C32" s="32"/>
      <x:c r="D32" s="32"/>
      <x:c r="E32" s="32"/>
      <x:c r="F32" s="32"/>
      <x:c r="G32" s="33"/>
    </x:row>
    <x:row r="33">
      <x:c r="A33" s="31" t="str">
        <x:v>IRR</x:v>
      </x:c>
      <x:c r="B33" s="32" t="n">
        <x:f>IRR(B5:B30)*100</x:f>
        <x:v>22.527133786414865</x:v>
      </x:c>
      <x:c r="C33" s="32"/>
      <x:c r="D33" s="32"/>
      <x:c r="E33" s="32"/>
      <x:c r="F33" s="32"/>
      <x:c r="G33" s="33"/>
    </x:row>
    <x:row r="34">
      <x:c r="A34" s="34" t="str">
        <x:v>静态回收期</x:v>
      </x:c>
      <x:c r="B34" s="35" t="n">
        <x:f>4+ABS(E9)/B10</x:f>
        <x:v>4.358565133572019</x:v>
      </x:c>
      <x:c r="C34" s="35"/>
      <x:c r="D34" s="35"/>
      <x:c r="E34" s="35"/>
      <x:c r="F34" s="35"/>
      <x:c r="G34" s="3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5" hidden="0" customWidth="1"/>
  </x:cols>
  <x:sheetData>
    <x:row r="1" ht="30" customHeight="1">
      <x:c r="A1" s="3" t="str">
        <x:v>光伏算例检查</x:v>
      </x:c>
      <x:c r="B1" s="3"/>
      <x:c r="C1" s="3"/>
      <x:c r="D1" s="3"/>
      <x:c r="E1" s="3"/>
      <x:c r="F1" s="3"/>
      <x:c r="G1" s="3"/>
    </x:row>
    <x:row r="2" ht="24" customHeight="1">
      <x:c r="A2" s="6" t="str">
        <x:v>一个断言一行；全部为 OK 方可通过</x:v>
      </x:c>
      <x:c r="B2" s="6"/>
      <x:c r="C2" s="6"/>
      <x:c r="D2" s="6"/>
      <x:c r="E2" s="6"/>
      <x:c r="F2" s="6"/>
      <x:c r="G2" s="6"/>
    </x:row>
    <x:row r="4">
      <x:c r="A4" s="17" t="str">
        <x:v>检查项</x:v>
      </x:c>
      <x:c r="B4" s="18" t="str">
        <x:v>实际值</x:v>
      </x:c>
      <x:c r="C4" s="18" t="str">
        <x:v>期望值</x:v>
      </x:c>
      <x:c r="D4" s="18" t="str">
        <x:v>差异</x:v>
      </x:c>
      <x:c r="E4" s="18" t="str">
        <x:v>容差</x:v>
      </x:c>
      <x:c r="F4" s="18" t="str">
        <x:v>状态</x:v>
      </x:c>
      <x:c r="G4" s="19" t="str">
        <x:v>说明</x:v>
      </x:c>
    </x:row>
    <x:row r="5">
      <x:c r="A5" t="str">
        <x:v>首年发电量与代码一致</x:v>
      </x:c>
      <x:c r="B5" t="n">
        <x:f>'输入与结果'!B19</x:f>
        <x:v>1019874.24</x:v>
      </x:c>
      <x:c r="C5" t="n">
        <x:v>1019874.24</x:v>
      </x:c>
      <x:c r="D5" t="n">
        <x:f>B5-C5</x:f>
        <x:v>0</x:v>
      </x:c>
      <x:c r="E5" t="n">
        <x:v>0.01</x:v>
      </x:c>
      <x:c r="F5" t="str">
        <x:f>IF(ABS(D5)&lt;=E5,"OK","FAIL")</x:f>
        <x:v>OK</x:v>
      </x:c>
      <x:c r="G5" t="str">
        <x:v>独立公式对照</x:v>
      </x:c>
    </x:row>
    <x:row r="6">
      <x:c r="A6" t="str">
        <x:v>首年净收益与代码一致</x:v>
      </x:c>
      <x:c r="B6" t="n">
        <x:f>'输入与结果'!B22</x:f>
        <x:v>74.015</x:v>
      </x:c>
      <x:c r="C6" t="n">
        <x:v>74.015</x:v>
      </x:c>
      <x:c r="D6" t="n">
        <x:f>B6-C6</x:f>
        <x:v>0</x:v>
      </x:c>
      <x:c r="E6" t="n">
        <x:v>0.001</x:v>
      </x:c>
      <x:c r="F6" t="str">
        <x:f>IF(ABS(D6)&lt;=E6,"OK","FAIL")</x:f>
        <x:v>OK</x:v>
      </x:c>
      <x:c r="G6" t="str">
        <x:v>独立公式对照</x:v>
      </x:c>
    </x:row>
    <x:row r="7">
      <x:c r="A7" t="str">
        <x:v>NPV与代码一致</x:v>
      </x:c>
      <x:c r="B7" t="n">
        <x:f>'输入与结果'!B23</x:f>
        <x:v>586.6353503918933</x:v>
      </x:c>
      <x:c r="C7" t="n">
        <x:v>586.635</x:v>
      </x:c>
      <x:c r="D7" t="n">
        <x:f>B7-C7</x:f>
        <x:v>0.00035039189333474496</x:v>
      </x:c>
      <x:c r="E7" t="n">
        <x:v>0.001</x:v>
      </x:c>
      <x:c r="F7" t="str">
        <x:f>IF(ABS(D7)&lt;=E7,"OK","FAIL")</x:f>
        <x:v>OK</x:v>
      </x:c>
      <x:c r="G7" t="str">
        <x:v>6%年末折现</x:v>
      </x:c>
    </x:row>
    <x:row r="8">
      <x:c r="A8" t="str">
        <x:v>现金流逐年最大绝对误差</x:v>
      </x:c>
      <x:c r="B8" t="n">
        <x:f>MAX(MAX('25年现金流'!G5:G30),-MIN('25年现金流'!G5:G30))</x:f>
        <x:v>0</x:v>
      </x:c>
      <x:c r="C8" t="n">
        <x:v>0</x:v>
      </x:c>
      <x:c r="D8" t="n">
        <x:f>B8-C8</x:f>
        <x:v>0</x:v>
      </x:c>
      <x:c r="E8" t="n">
        <x:v>0.001</x:v>
      </x:c>
      <x:c r="F8" t="str">
        <x:f>IF(ABS(D8)&lt;=E8,"OK","FAIL")</x:f>
        <x:v>OK</x:v>
      </x:c>
      <x:c r="G8" t="str">
        <x:v>25年现金流</x:v>
      </x:c>
    </x:row>
    <x:row r="9">
      <x:c r="A9" t="str">
        <x:v>模型总状态</x:v>
      </x:c>
      <x:c r="B9"/>
      <x:c r="C9"/>
      <x:c r="D9"/>
      <x:c r="E9"/>
      <x:c r="F9" t="str">
        <x:f>IF(COUNTIF(F5:F8,"FAIL")=0,"OK","FAIL")</x:f>
        <x:v>OK</x:v>
      </x:c>
      <x:c r="G9" t="str">
        <x:v>所有检查均通过</x:v>
      </x:c>
    </x:row>
  </x:sheetData>
  <x:mergeCells>
    <x:mergeCell ref="A1:G1"/>
    <x:mergeCell ref="A2:G2"/>
  </x:mergeCells>
  <x:conditionalFormatting sqref="F5:F9">
    <x:cfRule type="containsText" dxfId="0" priority="1" operator="containsText" text="OK"/>
  </x:conditionalFormatting>
  <x:pageMargins left="0.7" right="0.7" top="0.75" bottom="0.75" header="0.3" footer="0.3"/>
</x:worksheet>
</file>